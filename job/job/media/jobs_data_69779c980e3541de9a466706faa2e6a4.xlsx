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Infosys</t>
        </is>
      </c>
      <c r="B2" t="inlineStr">
        <is>
          <t>Python Developer</t>
        </is>
      </c>
      <c r="C2" t="inlineStr">
        <is>
          <t>3 days ago</t>
        </is>
      </c>
      <c r="D2" t="inlineStr"/>
      <c r="E2" t="inlineStr"/>
      <c r="F2" t="inlineStr">
        <is>
          <t>Mid-Senior level</t>
        </is>
      </c>
      <c r="G2" t="inlineStr">
        <is>
          <t>Bengaluru, Karnataka, India</t>
        </is>
      </c>
      <c r="H2">
        <f>HYPERLINK("https://in.linkedin.com/company/infosys?trk=public_jobs_topcard_logo", "https://in.linkedin.com/company/infosys?trk=public_jobs_topcard_logo")</f>
        <v/>
      </c>
      <c r="I2" t="inlineStr">
        <is>
          <t>Problem Solving, Communication, Python, Quality Assurance, Digital Transformation, Agile</t>
        </is>
      </c>
      <c r="J2">
        <f>HYPERLINK("https://in.linkedin.com/jobs/view/python-developer-at-infosys-4323369504?trk=public_jobs_topcard-title", "https://in.linkedin.com/jobs/view/python-developer-at-infosys-4323369504?trk=public_jobs_topcard-title")</f>
        <v/>
      </c>
      <c r="K2" t="inlineStr">
        <is>
          <t>Educational RequirementsBachelor of Engineering,BCA,BSc,MTech,MCA,MScService LineEngineering ServicesResponsibilitiesA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skills:Technology-&gt;OpenSystem-&gt;Python - OpenSystemPreferred Skills:Technology-&gt;OpenSystem-&gt;Python - OpenSystem</t>
        </is>
      </c>
      <c r="L2" t="inlineStr">
        <is>
          <t>Full-time</t>
        </is>
      </c>
      <c r="M2" t="inlineStr">
        <is>
          <t>Information Technology</t>
        </is>
      </c>
    </row>
    <row r="3">
      <c r="A3" t="inlineStr">
        <is>
          <t>Infosys</t>
        </is>
      </c>
      <c r="B3" t="inlineStr">
        <is>
          <t>Python Developer</t>
        </is>
      </c>
      <c r="C3" t="inlineStr">
        <is>
          <t>6 days ago</t>
        </is>
      </c>
      <c r="D3" t="inlineStr"/>
      <c r="E3" t="inlineStr"/>
      <c r="F3" t="inlineStr">
        <is>
          <t>Entry level</t>
        </is>
      </c>
      <c r="G3" t="inlineStr">
        <is>
          <t>Bengaluru East, Karnataka, India</t>
        </is>
      </c>
      <c r="H3">
        <f>HYPERLINK("https://in.linkedin.com/company/infosys?trk=public_jobs_topcard_logo", "https://in.linkedin.com/company/infosys?trk=public_jobs_topcard_logo")</f>
        <v/>
      </c>
      <c r="I3" t="inlineStr">
        <is>
          <t>Deep Learning, Nlp, Python, Tensorflow, Blockchain, Quantum Computing, Nosql, Django, Angular, Pytorch</t>
        </is>
      </c>
      <c r="J3">
        <f>HYPERLINK("https://in.linkedin.com/jobs/view/python-developer-at-infosys-4321433192?trk=public_jobs_topcard-title", "https://in.linkedin.com/jobs/view/python-developer-at-infosys-4321433192?trk=public_jobs_topcard-title")</f>
        <v/>
      </c>
      <c r="K3" t="inlineStr">
        <is>
          <t>Programming: Python advance (Framework: Django) Angular or ReactJS desirable Exposure to RDBMS &amp; NoSQL DB's Cloud Knowledge will be plus AI Skills: (Will be plus) PyTorch or TensorFlow Deep Learning (Neural Networks) Knowledge NLP – TransformersShould have experience to build best-fit architectural solution in form of frameworks/ tools in identified technology area Should be conversant with architecture principles and practices ( Architecture frameworks and methodology, Architecture patterns, Architect QoS ( performance, scalability, maintainability, reusability) Should be able to provide technical leadership and strategic direction for testing Should be able to create technology differentiation by contribution to new proposal/ pursuits Preferably should be aware of industry trends in some emerging technology areas (blockchain, AR-VR, LCNC, Quantum computing etc) Preferably a thought leaders within the area of technology specialization, esp for Sr. Tech Arch role (should have published some whitepapers or presented in some industry forums)</t>
        </is>
      </c>
      <c r="L3" t="inlineStr">
        <is>
          <t>Full-time</t>
        </is>
      </c>
      <c r="M3" t="inlineStr">
        <is>
          <t>Engineering and Information Technology</t>
        </is>
      </c>
    </row>
    <row r="4">
      <c r="A4" t="inlineStr">
        <is>
          <t>Persistent Systems</t>
        </is>
      </c>
      <c r="B4" t="inlineStr">
        <is>
          <t>Python Developer</t>
        </is>
      </c>
      <c r="C4" t="inlineStr">
        <is>
          <t>1 day ago</t>
        </is>
      </c>
      <c r="D4" t="inlineStr"/>
      <c r="E4" t="inlineStr">
        <is>
          <t>$1,409.1</t>
        </is>
      </c>
      <c r="F4" t="inlineStr">
        <is>
          <t>Entry level</t>
        </is>
      </c>
      <c r="G4" t="inlineStr">
        <is>
          <t>Bengaluru, Karnataka, India</t>
        </is>
      </c>
      <c r="H4">
        <f>HYPERLINK("https://in.linkedin.com/company/persistent-systems?trk=public_jobs_topcard_logo", "https://in.linkedin.com/company/persistent-systems?trk=public_jobs_topcard_logo")</f>
        <v/>
      </c>
      <c r="I4" t="inlineStr">
        <is>
          <t>Python, Flask, Django, Javascript</t>
        </is>
      </c>
      <c r="J4">
        <f>HYPERLINK("https://in.linkedin.com/jobs/view/python-developer-at-persistent-systems-4294598179?trk=public_jobs_topcard-title", "https://in.linkedin.com/jobs/view/python-developer-at-persistent-systems-4294598179?trk=public_jobs_topcard-title")</f>
        <v/>
      </c>
      <c r="K4"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4" t="inlineStr">
        <is>
          <t>Full-time</t>
        </is>
      </c>
      <c r="M4" t="inlineStr">
        <is>
          <t>Engineering and Information Technology</t>
        </is>
      </c>
    </row>
    <row r="5">
      <c r="A5" t="inlineStr">
        <is>
          <t>Infosys</t>
        </is>
      </c>
      <c r="B5" t="inlineStr">
        <is>
          <t>Python Developer</t>
        </is>
      </c>
      <c r="C5" t="inlineStr">
        <is>
          <t>2 weeks ago</t>
        </is>
      </c>
      <c r="D5" t="inlineStr"/>
      <c r="E5" t="inlineStr"/>
      <c r="F5" t="inlineStr">
        <is>
          <t>Mid-Senior level</t>
        </is>
      </c>
      <c r="G5" t="inlineStr">
        <is>
          <t>Bengaluru, Karnataka, India</t>
        </is>
      </c>
      <c r="H5">
        <f>HYPERLINK("https://in.linkedin.com/company/infosys?trk=public_jobs_topcard_logo", "https://in.linkedin.com/company/infosys?trk=public_jobs_topcard_logo")</f>
        <v/>
      </c>
      <c r="I5" t="inlineStr">
        <is>
          <t>Problem Solving, Communication, Python, Quality Assurance, Digital Transformation, Agile, Machine Learning</t>
        </is>
      </c>
      <c r="J5">
        <f>HYPERLINK("https://in.linkedin.com/jobs/view/python-developer-at-infosys-4330790441?trk=public_jobs_topcard-title", "https://in.linkedin.com/jobs/view/python-developer-at-infosys-4330790441?trk=public_jobs_topcard-title")</f>
        <v/>
      </c>
      <c r="K5" t="inlineStr">
        <is>
          <t>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skills:Technology-&gt;Machine Learning-&gt;Python • Desirables:Technology-&gt;OpenSystem-&gt;Python - OpenSystemPreferred Skills:Technology-&gt;Machine Learning-&gt;PythonGeneric Skills:Technology-&gt;OpenSystem-&gt;Python - OpenSystem-&gt;FlaskEXP Range: 5-8 Years</t>
        </is>
      </c>
      <c r="L5" t="inlineStr">
        <is>
          <t>Full-time</t>
        </is>
      </c>
      <c r="M5" t="inlineStr">
        <is>
          <t>Information Technology</t>
        </is>
      </c>
    </row>
    <row r="6">
      <c r="A6" t="inlineStr">
        <is>
          <t>Infosys</t>
        </is>
      </c>
      <c r="B6" t="inlineStr">
        <is>
          <t>Python Developer</t>
        </is>
      </c>
      <c r="C6" t="inlineStr">
        <is>
          <t>3 weeks ago</t>
        </is>
      </c>
      <c r="D6" t="inlineStr"/>
      <c r="E6" t="inlineStr"/>
      <c r="F6" t="inlineStr">
        <is>
          <t>Mid-Senior level</t>
        </is>
      </c>
      <c r="G6" t="inlineStr">
        <is>
          <t>Bengaluru, Karnataka, India</t>
        </is>
      </c>
      <c r="H6">
        <f>HYPERLINK("https://in.linkedin.com/company/infosys?trk=public_jobs_topcard_logo", "https://in.linkedin.com/company/infosys?trk=public_jobs_topcard_logo")</f>
        <v/>
      </c>
      <c r="I6" t="inlineStr">
        <is>
          <t>Python</t>
        </is>
      </c>
      <c r="J6">
        <f>HYPERLINK("https://in.linkedin.com/jobs/view/python-developer-at-infosys-4322807316?trk=public_jobs_topcard-title", "https://in.linkedin.com/jobs/view/python-developer-at-infosys-4322807316?trk=public_jobs_topcard-title")</f>
        <v/>
      </c>
      <c r="K6" t="inlineStr">
        <is>
          <t>Job descriptionHiring for Python Developer with experience range 5 to 8years.Mandatory Skills: Python DeveloperLocation - Pan India - Infosys dc locationsEducation: BE/B.Tech/MCA/M.Tech/MSc./MSts</t>
        </is>
      </c>
      <c r="L6" t="inlineStr">
        <is>
          <t>Full-time</t>
        </is>
      </c>
      <c r="M6" t="inlineStr">
        <is>
          <t>Information Technology</t>
        </is>
      </c>
    </row>
    <row r="7">
      <c r="A7" t="inlineStr">
        <is>
          <t>Infosys</t>
        </is>
      </c>
      <c r="B7" t="inlineStr">
        <is>
          <t>Python Lead</t>
        </is>
      </c>
      <c r="C7" t="inlineStr">
        <is>
          <t>6 days ago</t>
        </is>
      </c>
      <c r="D7" t="inlineStr"/>
      <c r="E7" t="inlineStr"/>
      <c r="F7" t="inlineStr">
        <is>
          <t>Mid-Senior level</t>
        </is>
      </c>
      <c r="G7" t="inlineStr">
        <is>
          <t>Bengaluru East, Karnataka, India</t>
        </is>
      </c>
      <c r="H7">
        <f>HYPERLINK("https://in.linkedin.com/company/infosys?trk=public_jobs_topcard_logo", "https://in.linkedin.com/company/infosys?trk=public_jobs_topcard_logo")</f>
        <v/>
      </c>
      <c r="I7" t="inlineStr">
        <is>
          <t>Problem Solving, Communication, Python, Quality Assurance, Digital Transformation, Agile</t>
        </is>
      </c>
      <c r="J7">
        <f>HYPERLINK("https://in.linkedin.com/jobs/view/python-lead-at-infosys-4365802625?trk=public_jobs_topcard-title", "https://in.linkedin.com/jobs/view/python-lead-at-infosys-4365802625?trk=public_jobs_topcard-title")</f>
        <v/>
      </c>
      <c r="K7" t="inlineStr">
        <is>
          <t>Primary skills:Technology-&gt;OpenSystem-&gt;Python - OpenSystemA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L7" t="inlineStr">
        <is>
          <t>Full-time</t>
        </is>
      </c>
      <c r="M7" t="inlineStr">
        <is>
          <t>Other</t>
        </is>
      </c>
    </row>
    <row r="8">
      <c r="A8" t="inlineStr">
        <is>
          <t>Persistent Systems</t>
        </is>
      </c>
      <c r="B8" t="inlineStr">
        <is>
          <t>Python Developer</t>
        </is>
      </c>
      <c r="C8" t="inlineStr">
        <is>
          <t>2 weeks ago</t>
        </is>
      </c>
      <c r="D8" t="inlineStr"/>
      <c r="E8" t="inlineStr">
        <is>
          <t>$1,409.1</t>
        </is>
      </c>
      <c r="F8" t="inlineStr">
        <is>
          <t>Entry level</t>
        </is>
      </c>
      <c r="G8" t="inlineStr">
        <is>
          <t>Hyderabad, Telangana, India</t>
        </is>
      </c>
      <c r="H8">
        <f>HYPERLINK("https://in.linkedin.com/company/persistent-systems?trk=public_jobs_topcard_logo", "https://in.linkedin.com/company/persistent-systems?trk=public_jobs_topcard_logo")</f>
        <v/>
      </c>
      <c r="I8" t="inlineStr">
        <is>
          <t>Python, Flask, Django, Javascript</t>
        </is>
      </c>
      <c r="J8">
        <f>HYPERLINK("https://in.linkedin.com/jobs/view/python-developer-at-persistent-systems-4296548148?trk=public_jobs_topcard-title", "https://in.linkedin.com/jobs/view/python-developer-at-persistent-systems-4296548148?trk=public_jobs_topcard-title")</f>
        <v/>
      </c>
      <c r="K8"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8" t="inlineStr">
        <is>
          <t>Full-time</t>
        </is>
      </c>
      <c r="M8" t="inlineStr">
        <is>
          <t>Engineering and Information Technology</t>
        </is>
      </c>
    </row>
    <row r="9">
      <c r="A9" t="inlineStr">
        <is>
          <t>Capgemini</t>
        </is>
      </c>
      <c r="B9" t="inlineStr">
        <is>
          <t>Python GenAI</t>
        </is>
      </c>
      <c r="C9" t="inlineStr">
        <is>
          <t>3 days ago</t>
        </is>
      </c>
      <c r="D9" t="inlineStr"/>
      <c r="E9" t="inlineStr"/>
      <c r="F9" t="inlineStr">
        <is>
          <t>Mid-Senior level</t>
        </is>
      </c>
      <c r="G9" t="inlineStr">
        <is>
          <t>Bengaluru, Karnataka, India</t>
        </is>
      </c>
      <c r="H9">
        <f>HYPERLINK("https://fr.linkedin.com/company/capgemini?trk=public_jobs_topcard_logo", "https://fr.linkedin.com/company/capgemini?trk=public_jobs_topcard_logo")</f>
        <v/>
      </c>
      <c r="I9" t="inlineStr">
        <is>
          <t>Flask, Aws, Azure, Gcp, Microservices, Python, Django, Pandas, Ci/Cd, Numpy</t>
        </is>
      </c>
      <c r="J9">
        <f>HYPERLINK("https://in.linkedin.com/jobs/view/python-genai-at-capgemini-4367108808?trk=public_jobs_topcard-title", "https://in.linkedin.com/jobs/view/python-genai-at-capgemini-4367108808?trk=public_jobs_topcard-title")</f>
        <v/>
      </c>
      <c r="K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world.Your RoleBuild backend services and APIs using Python (FastAPI / Flask / Django).Work with LLMs (OpenAI, Azure OpenAI, Gemini, Llama, etc.) for GenAI solutions.Implement RAG (Retrieval-Augmented Generation) pipelines.Create and optimize prompt engineering frameworks for enterprise use cases.Work with vector databases such as Pinecone, FAISS, ChromaDB, Weaviate.Integrate GenAI features into existing products (chatbots, copilots, automation tools).Fine‑tune or customize models using Hugging Face / Transformers libraries.Develop data processing pipelines using Pandas, NumPy, LangChain, LlamaIndex.Implement authentication, authorization, and secure API usage.Deploy AI services on AWS / Azure / GCP.Build scalable, production-grade ML/GenAI systems with CI/CD.Your ProfileStrong proficiency in Python.Experience with GenAI/LLMs (OpenAI/LLama/Gemini).Knowledge of LangChain, LlamaIndex, or similar frameworks.Understanding of RAG, embeddings, tokenization, and transformers.Experience with REST APIs and microservices.Hands‑on with vector stores (Pinecone/FAISS).Understanding of cloud platforms (AWS/Azure/GCP).What You'll Love About Working HereYou can shape your career with us. We offer a range of career paths and internal opportunities within Capgemini group. You will also get personalized career guidance from our leaders.You will get comprehensive wellness benefits including health checks, telemedicine, insurance with top-ups, elder care, partner coverage or new parent support via flexible work. You will have the opportunity to learn on one of the industry's largest digital learning platforms, with access to 250,000+ courses and numerous certifications.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billion.Make it real | www.capgemini.com</t>
        </is>
      </c>
      <c r="L9" t="inlineStr">
        <is>
          <t>Full-time</t>
        </is>
      </c>
      <c r="M9" t="inlineStr">
        <is>
          <t>Other</t>
        </is>
      </c>
    </row>
    <row r="10">
      <c r="A10" t="inlineStr">
        <is>
          <t>Infosys</t>
        </is>
      </c>
      <c r="B10" t="inlineStr">
        <is>
          <t>Python Consultant</t>
        </is>
      </c>
      <c r="C10" t="inlineStr">
        <is>
          <t>1 day ago</t>
        </is>
      </c>
      <c r="D10" t="inlineStr">
        <is>
          <t>107 applicants</t>
        </is>
      </c>
      <c r="E10" t="inlineStr"/>
      <c r="F10" t="inlineStr">
        <is>
          <t>Mid-Senior level</t>
        </is>
      </c>
      <c r="G10" t="inlineStr">
        <is>
          <t>Bengaluru East, Karnataka, India</t>
        </is>
      </c>
      <c r="H10">
        <f>HYPERLINK("https://in.linkedin.com/company/infosys?trk=public_jobs_topcard_logo", "https://in.linkedin.com/company/infosys?trk=public_jobs_topcard_logo")</f>
        <v/>
      </c>
      <c r="I10" t="inlineStr">
        <is>
          <t>Flask, Pandas, Python, Digital Transformation, Agile, Django, Machine Learning, Data Analysis</t>
        </is>
      </c>
      <c r="J10">
        <f>HYPERLINK("https://in.linkedin.com/jobs/view/python-consultant-at-infosys-4331544487?trk=public_jobs_topcard-title", "https://in.linkedin.com/jobs/view/python-consultant-at-infosys-4331544487?trk=public_jobs_topcard-title")</f>
        <v/>
      </c>
      <c r="K10" t="inlineStr">
        <is>
          <t>Minimum Qualifications: - Bachelor's or Master's degree in Computer Science, Engineering, or related fields (BE, B.Tech, ME, M.Tech, MCA, MSc). - Proven experience in Python development (5+ years). - Strong understanding of Open Systems. Preferred Qualifications: - Experience with AI Machine Learning and its integration into software solutions. - Familiarity with related Python frameworks like Flask, Pandas, and Data Analysis. - Proven track record of delivering successful projects in a collaborative environment. - Ability to innovate and propose new solutions to technical challenges. Good to have skills: Flask, Pandas, Data Analysis, Django, TensorFlowKey Responsibilities: - Develop and maintain high-quality Python applications, ensuring robustness and scalability. - Utilize Open Systems to architect solutions that meet client requirements. - Collaborate with cross-functional teams to integrate AI Machine Learning models into existing frameworks. - Mentor junior developers and provide technical guidance to enhance team capabilities. - Engage in code reviews and uphold best practices in software development.About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L10" t="inlineStr">
        <is>
          <t>Full-time</t>
        </is>
      </c>
      <c r="M10" t="inlineStr">
        <is>
          <t>Consulting, Information Technology, and Sales</t>
        </is>
      </c>
    </row>
    <row r="11">
      <c r="A11" t="inlineStr">
        <is>
          <t>Capgemini</t>
        </is>
      </c>
      <c r="B11" t="inlineStr">
        <is>
          <t>Python, Selenium, AQA, Linux, SQL Test engineer</t>
        </is>
      </c>
      <c r="C11" t="inlineStr">
        <is>
          <t>1 week ago</t>
        </is>
      </c>
      <c r="D11" t="inlineStr">
        <is>
          <t>78 applicants</t>
        </is>
      </c>
      <c r="E11" t="inlineStr"/>
      <c r="F11" t="inlineStr">
        <is>
          <t>Mid-Senior level</t>
        </is>
      </c>
      <c r="G11" t="inlineStr">
        <is>
          <t>Pune, Maharashtra, India</t>
        </is>
      </c>
      <c r="H11">
        <f>HYPERLINK("https://fr.linkedin.com/company/capgemini?trk=public_jobs_topcard_logo", "https://fr.linkedin.com/company/capgemini?trk=public_jobs_topcard_logo")</f>
        <v/>
      </c>
      <c r="I11" t="inlineStr">
        <is>
          <t>R, Python, Jenkins, Linux, Bitbucket, Agile, Jira, Sql</t>
        </is>
      </c>
      <c r="J11">
        <f>HYPERLINK("https://in.linkedin.com/jobs/view/python-selenium-aqa-linux-sql-test-engineer-at-capgemini-4365090549?trk=public_jobs_topcard-title", "https://in.linkedin.com/jobs/view/python-selenium-aqa-linux-sql-test-engineer-at-capgemini-4365090549?trk=public_jobs_topcard-title")</f>
        <v/>
      </c>
      <c r="K11" t="inlineStr">
        <is>
          <t>Choosing Capgemini means choosing a place where you’ll be empowered to shape your career, supported by a collaborative global community, and inspired to reimagine what’s possible. Join us in helping leading Consumer Products and Retail Services (CPRS) organizations unlock the value of technology and drive scalable, sustainable growth.Your Role;We have urgent hiring for Python Automation with OOPS for Pune location.In this role, you will:a) 6+ years of proven work experience as a Python Automation QAb) Strong proficiency in Python programming, Selenium Framework and SQLc) Stong on Object Oriented Principles and OOPs conceptsd) Strong on Python Data Structures and should be able to map C++ Data Structurese) Hands on JIRA and Linux commandsYour ProfileFamiliarity with Testing methodologiesb) Good knowledge on SQL Database and Linuxc) Agile Methodologyd) Knowledge on Squish, Qt, Jira, Bitbucket, Jama, Jenkins, and Linux environments and workstationsWhat You’ll Love About Working HereWe value flexibility and support our employees with hybrid work options and adaptable schedules to maintain a healthy work-life balance. Our inclusive culture brings together diverse professionals committed to growth, innovation, and excellence. You’ll have access to continuous learning opportunities and certifications in emerging technologies like cloud and AI.---About UsAt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same.Capgemini is a global business and technology transformation partner, helping organizations accelerate their dual transformation to address the evolving needs of customers and citizens. With a strong 55-year heritage and deep industry expertise, Capgemini is trusted by its clients to address the entire breadth of their business needs—from strategy and design to operations.To achieve this, Capgemini draws on the capabilities of its 360,000 team members in more than 50 countries, all driven by the purpose of unleashing human energy through technology for an inclusive and sustainable future. It is a responsible and diverse organization with market-leading capabilities in digital, cloud, and data.</t>
        </is>
      </c>
      <c r="L11" t="inlineStr">
        <is>
          <t>Full-time</t>
        </is>
      </c>
      <c r="M11" t="inlineStr">
        <is>
          <t>Engineering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2026-02-01T11:31:04Z</dcterms:created>
  <dcterms:modified xmlns:dcterms="http://purl.org/dc/terms/" xmlns:xsi="http://www.w3.org/2001/XMLSchema-instance" xsi:type="dcterms:W3CDTF">2026-02-01T11:31:04Z</dcterms:modified>
</cp:coreProperties>
</file>