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Infosys</t>
        </is>
      </c>
      <c r="B2" t="inlineStr">
        <is>
          <t>Python Developer</t>
        </is>
      </c>
      <c r="C2" t="inlineStr">
        <is>
          <t>3 days ago</t>
        </is>
      </c>
      <c r="D2" t="inlineStr"/>
      <c r="E2" t="inlineStr"/>
      <c r="F2" t="inlineStr">
        <is>
          <t>Mid-Senior level</t>
        </is>
      </c>
      <c r="G2" t="inlineStr">
        <is>
          <t>Bengaluru, Karnataka, India</t>
        </is>
      </c>
      <c r="H2">
        <f>HYPERLINK("https://in.linkedin.com/company/infosys?trk=public_jobs_topcard_logo", "https://in.linkedin.com/company/infosys?trk=public_jobs_topcard_logo")</f>
        <v/>
      </c>
      <c r="I2" t="inlineStr">
        <is>
          <t>Problem Solving, Communication, Python, Quality Assurance, Digital Transformation, Agile</t>
        </is>
      </c>
      <c r="J2">
        <f>HYPERLINK("https://in.linkedin.com/jobs/view/python-developer-at-infosys-4323369504?trk=public_jobs_topcard-title", "https://in.linkedin.com/jobs/view/python-developer-at-infosys-4323369504?trk=public_jobs_topcard-title")</f>
        <v/>
      </c>
      <c r="K2" t="inlineStr">
        <is>
          <t>Educational RequirementsBachelor of Engineering,BCA,BSc,MTech,MCA,MScService LineEngineering ServicesResponsibilitiesA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you!Additional Responsibilities:•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skillsTechnical and Professional Requirements:• Primary skills:Technology-&gt;OpenSystem-&gt;Python - OpenSystemPreferred Skills:Technology-&gt;OpenSystem-&gt;Python - OpenSystem</t>
        </is>
      </c>
      <c r="L2" t="inlineStr">
        <is>
          <t>Full-time</t>
        </is>
      </c>
      <c r="M2" t="inlineStr">
        <is>
          <t>Information Technology</t>
        </is>
      </c>
    </row>
    <row r="3">
      <c r="A3" t="inlineStr">
        <is>
          <t>Infosys</t>
        </is>
      </c>
      <c r="B3" t="inlineStr">
        <is>
          <t>Python Developer</t>
        </is>
      </c>
      <c r="C3" t="inlineStr">
        <is>
          <t>6 days ago</t>
        </is>
      </c>
      <c r="D3" t="inlineStr"/>
      <c r="E3" t="inlineStr"/>
      <c r="F3" t="inlineStr">
        <is>
          <t>Entry level</t>
        </is>
      </c>
      <c r="G3" t="inlineStr">
        <is>
          <t>Bengaluru East, Karnataka, India</t>
        </is>
      </c>
      <c r="H3">
        <f>HYPERLINK("https://in.linkedin.com/company/infosys?trk=public_jobs_topcard_logo", "https://in.linkedin.com/company/infosys?trk=public_jobs_topcard_logo")</f>
        <v/>
      </c>
      <c r="I3" t="inlineStr">
        <is>
          <t>Deep Learning, Nlp, Python, Tensorflow, Blockchain, Quantum Computing, Nosql, Django, Angular, Pytorch</t>
        </is>
      </c>
      <c r="J3">
        <f>HYPERLINK("https://in.linkedin.com/jobs/view/python-developer-at-infosys-4321433192?trk=public_jobs_topcard-title", "https://in.linkedin.com/jobs/view/python-developer-at-infosys-4321433192?trk=public_jobs_topcard-title")</f>
        <v/>
      </c>
      <c r="K3" t="inlineStr">
        <is>
          <t>Programming: Python advance (Framework: Django) Angular or ReactJS desirable Exposure to RDBMS &amp; NoSQL DB's Cloud Knowledge will be plus AI Skills: (Will be plus) PyTorch or TensorFlow Deep Learning (Neural Networks) Knowledge NLP – TransformersShould have experience to build best-fit architectural solution in form of frameworks/ tools in identified technology area Should be conversant with architecture principles and practices ( Architecture frameworks and methodology, Architecture patterns, Architect QoS ( performance, scalability, maintainability, reusability) Should be able to provide technical leadership and strategic direction for testing Should be able to create technology differentiation by contribution to new proposal/ pursuits Preferably should be aware of industry trends in some emerging technology areas (blockchain, AR-VR, LCNC, Quantum computing etc) Preferably a thought leaders within the area of technology specialization, esp for Sr. Tech Arch role (should have published some whitepapers or presented in some industry forums)</t>
        </is>
      </c>
      <c r="L3" t="inlineStr">
        <is>
          <t>Full-time</t>
        </is>
      </c>
      <c r="M3" t="inlineStr">
        <is>
          <t>Engineering and Information Technology</t>
        </is>
      </c>
    </row>
    <row r="4">
      <c r="A4" t="inlineStr">
        <is>
          <t>Persistent Systems</t>
        </is>
      </c>
      <c r="B4" t="inlineStr">
        <is>
          <t>Python Developer</t>
        </is>
      </c>
      <c r="C4" t="inlineStr">
        <is>
          <t>2 days ago</t>
        </is>
      </c>
      <c r="D4" t="inlineStr"/>
      <c r="E4" t="inlineStr">
        <is>
          <t>$1,409.1</t>
        </is>
      </c>
      <c r="F4" t="inlineStr">
        <is>
          <t>Entry level</t>
        </is>
      </c>
      <c r="G4" t="inlineStr">
        <is>
          <t>Bengaluru, Karnataka, India</t>
        </is>
      </c>
      <c r="H4">
        <f>HYPERLINK("https://in.linkedin.com/company/persistent-systems?trk=public_jobs_topcard_logo", "https://in.linkedin.com/company/persistent-systems?trk=public_jobs_topcard_logo")</f>
        <v/>
      </c>
      <c r="I4" t="inlineStr">
        <is>
          <t>Python, Flask, Django, Javascript</t>
        </is>
      </c>
      <c r="J4">
        <f>HYPERLINK("https://in.linkedin.com/jobs/view/python-developer-at-persistent-systems-4294598179?trk=public_jobs_topcard-title", "https://in.linkedin.com/jobs/view/python-developer-at-persistent-systems-4294598179?trk=public_jobs_topcard-title")</f>
        <v/>
      </c>
      <c r="K4" t="inlineStr">
        <is>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ecosystem.Our disruptor’s mindset, commitment to client success, and agility to thrive in the dynamic environment have enabled us to sustain our growth momentum by reporting $1,409.1M revenue in FY25, delivering 18.8% Y-o-Y growth. Our 23,900+ global team members, located in 19 countries, have been instrumental in helping the market leaders transform their industries. We are also pleased to share that Persistent won in four categories at the prestigious 2024 ISG Star of Excellence™ Awards , including the Overall Award based on the voice of the customer. We were included in the Dow Jones Sustainability World Index, setting high standards in sustainability and corporate responsibility. We were awarded for our state-of-the-art learning and development initiatives at the 16 th TISS LeapVault CLO Awards. In addition, we were cited as the fastest-growing IT services brand in the 2024 Brand Finance India 100 Report. Throughout our market-leading growth, we’ve maintained a strong employee satisfaction score of 8.2/10.At Persistent, we embrace diversity to unlock everyone's potential. Our programs empower our workforce by harnessing varied backgrounds for creative, innovative problem-solving. Our inclusive environment fosters belonging, encouraging employees to unleash their full potential.For more details please login to www.persistent.comAbout The PositionWe are looking for an experienced Python Developer to join our engineering team and help us create dynamic software applications for our clients. You will be responsible for writing and testing scalable code, developing back-end components, and integrating user-facing elements in collaboration with front-end developers. To be successful in this role, you will require in-depth knowledge of object-relational mapping, experience with server-side logic, and above-average knowledge of Python programming. Ultimately, as a top-class Python Developer you should be able to design highly responsive web-applications that perfectly meet the needs of the client. What You?ll Do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Expertise You?ll Bring  A Bachelor of Science degree in Computer Science, Engineering or relevant field  Work experience as a Python Developer  Expertise in at least one popular Python framework (like Django, Flask or Pyramid)  Knowledge of object-relational mapping (ORM)  Familiarity with front-end technologies (like JavaScript and HTML5)  Team spirit  Good problem-solving skills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Persistent Ltd. is dedicated to fostering diversity and inclusion in the workplace. We invite applications from all qualified individuals, including those with disabilities, and regardless of gender or gender preference. We welcome diverse candidates from all backgrounds.Inclusive EnvironmentWe offer hybrid work options and flexible working hours to accommodate various needs and preferences.Our office is equipped with accessible facilities, including adjustable workstations, ergonomic chairs, and assistive technologies to support employees with physical disabilities.If you are a person with disabilities and have specific requirements, please inform us during the application process or at any time during your employment. We are committed to creating an inclusive environment where all employees can thrive.Our company fosters a values-driven and people-centric work environment that enables our employees to:Accelerate growth, both professionally and personallyImpact the world in powerful, positive ways, using the latest technologiesEnjoy collaborative innovation, with diversity and work-life wellbeing at the coreUnlock global opportunities to work and learn with the industry’s best Let’s unleash your full potential at Persistent -  persistent.com/careers</t>
        </is>
      </c>
      <c r="L4" t="inlineStr">
        <is>
          <t>Full-time</t>
        </is>
      </c>
      <c r="M4" t="inlineStr">
        <is>
          <t>Engineering and Information Technology</t>
        </is>
      </c>
    </row>
    <row r="5">
      <c r="A5" t="inlineStr">
        <is>
          <t>Infosys</t>
        </is>
      </c>
      <c r="B5" t="inlineStr">
        <is>
          <t>Python Developer</t>
        </is>
      </c>
      <c r="C5" t="inlineStr">
        <is>
          <t>2 weeks ago</t>
        </is>
      </c>
      <c r="D5" t="inlineStr"/>
      <c r="E5" t="inlineStr"/>
      <c r="F5" t="inlineStr">
        <is>
          <t>Mid-Senior level</t>
        </is>
      </c>
      <c r="G5" t="inlineStr">
        <is>
          <t>Bengaluru, Karnataka, India</t>
        </is>
      </c>
      <c r="H5">
        <f>HYPERLINK("https://in.linkedin.com/company/infosys?trk=public_jobs_topcard_logo", "https://in.linkedin.com/company/infosys?trk=public_jobs_topcard_logo")</f>
        <v/>
      </c>
      <c r="I5" t="inlineStr">
        <is>
          <t>Problem Solving, Communication, Python, Quality Assurance, Digital Transformation, Agile, Machine Learning</t>
        </is>
      </c>
      <c r="J5">
        <f>HYPERLINK("https://in.linkedin.com/jobs/view/python-developer-at-infosys-4330790441?trk=public_jobs_topcard-title", "https://in.linkedin.com/jobs/view/python-developer-at-infosys-4330790441?trk=public_jobs_topcard-title")</f>
        <v/>
      </c>
      <c r="K5" t="inlineStr">
        <is>
          <t>ResponsibilitiesA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you!Additional Responsibilities:•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skillsTechnical and Professional Requirements:• Primary skills:Technology-&gt;Machine Learning-&gt;Python • Desirables:Technology-&gt;OpenSystem-&gt;Python - OpenSystemPreferred Skills:Technology-&gt;Machine Learning-&gt;PythonGeneric Skills:Technology-&gt;OpenSystem-&gt;Python - OpenSystem-&gt;FlaskEXP Range: 5-8 Years</t>
        </is>
      </c>
      <c r="L5" t="inlineStr">
        <is>
          <t>Full-time</t>
        </is>
      </c>
      <c r="M5" t="inlineStr">
        <is>
          <t>Information Technology</t>
        </is>
      </c>
    </row>
    <row r="6">
      <c r="A6" t="inlineStr">
        <is>
          <t>Infosys</t>
        </is>
      </c>
      <c r="B6" t="inlineStr">
        <is>
          <t>Python Developer</t>
        </is>
      </c>
      <c r="C6" t="inlineStr">
        <is>
          <t>3 weeks ago</t>
        </is>
      </c>
      <c r="D6" t="inlineStr"/>
      <c r="E6" t="inlineStr"/>
      <c r="F6" t="inlineStr">
        <is>
          <t>Mid-Senior level</t>
        </is>
      </c>
      <c r="G6" t="inlineStr">
        <is>
          <t>Bengaluru, Karnataka, India</t>
        </is>
      </c>
      <c r="H6">
        <f>HYPERLINK("https://in.linkedin.com/company/infosys?trk=public_jobs_topcard_logo", "https://in.linkedin.com/company/infosys?trk=public_jobs_topcard_logo")</f>
        <v/>
      </c>
      <c r="I6" t="inlineStr">
        <is>
          <t>Python</t>
        </is>
      </c>
      <c r="J6">
        <f>HYPERLINK("https://in.linkedin.com/jobs/view/python-developer-at-infosys-4322807316?trk=public_jobs_topcard-title", "https://in.linkedin.com/jobs/view/python-developer-at-infosys-4322807316?trk=public_jobs_topcard-title")</f>
        <v/>
      </c>
      <c r="K6" t="inlineStr">
        <is>
          <t>Job descriptionHiring for Python Developer with experience range 5 to 8years.Mandatory Skills: Python DeveloperLocation - Pan India - Infosys dc locationsEducation: BE/B.Tech/MCA/M.Tech/MSc./MSts</t>
        </is>
      </c>
      <c r="L6" t="inlineStr">
        <is>
          <t>Full-time</t>
        </is>
      </c>
      <c r="M6" t="inlineStr">
        <is>
          <t>Information Technology</t>
        </is>
      </c>
    </row>
    <row r="7">
      <c r="A7" t="inlineStr">
        <is>
          <t>Infosys</t>
        </is>
      </c>
      <c r="B7" t="inlineStr">
        <is>
          <t>Python Lead</t>
        </is>
      </c>
      <c r="C7" t="inlineStr">
        <is>
          <t>6 days ago</t>
        </is>
      </c>
      <c r="D7" t="inlineStr"/>
      <c r="E7" t="inlineStr"/>
      <c r="F7" t="inlineStr">
        <is>
          <t>Mid-Senior level</t>
        </is>
      </c>
      <c r="G7" t="inlineStr">
        <is>
          <t>Bengaluru East, Karnataka, India</t>
        </is>
      </c>
      <c r="H7">
        <f>HYPERLINK("https://in.linkedin.com/company/infosys?trk=public_jobs_topcard_logo", "https://in.linkedin.com/company/infosys?trk=public_jobs_topcard_logo")</f>
        <v/>
      </c>
      <c r="I7" t="inlineStr">
        <is>
          <t>Problem Solving, Communication, Python, Quality Assurance, Digital Transformation, Agile</t>
        </is>
      </c>
      <c r="J7">
        <f>HYPERLINK("https://in.linkedin.com/jobs/view/python-lead-at-infosys-4365802625?trk=public_jobs_topcard-title", "https://in.linkedin.com/jobs/view/python-lead-at-infosys-4365802625?trk=public_jobs_topcard-title")</f>
        <v/>
      </c>
      <c r="K7" t="inlineStr">
        <is>
          <t>Primary skills:Technology-&gt;OpenSystem-&gt;Python - OpenSystemA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Knowledge of more than one technology Basics of Architecture and Design fundamentals Knowledge of Testing tools Knowledge of agile methodologies Understanding of Project life cycle activities on development and maintenance projects Understanding of one or more Estimation methodologies, Knowledge of Quality processes Basics of business domain to understand the business requirements Analytical abilities, Strong Technical Skills, Good communication skills Good understanding of the technology and domain Ability to demonstrate a sound understanding of software quality assurance principles, SOLID design principles and modelling methods Awareness of latest technologies and trends Excellent problem solving, analytical and debugging skills</t>
        </is>
      </c>
      <c r="L7" t="inlineStr">
        <is>
          <t>Full-time</t>
        </is>
      </c>
      <c r="M7" t="inlineStr">
        <is>
          <t>Other</t>
        </is>
      </c>
    </row>
    <row r="8">
      <c r="A8" t="inlineStr">
        <is>
          <t>Persistent Systems</t>
        </is>
      </c>
      <c r="B8" t="inlineStr">
        <is>
          <t>Python Developer</t>
        </is>
      </c>
      <c r="C8" t="inlineStr">
        <is>
          <t>2 weeks ago</t>
        </is>
      </c>
      <c r="D8" t="inlineStr"/>
      <c r="E8" t="inlineStr">
        <is>
          <t>$1,409.1</t>
        </is>
      </c>
      <c r="F8" t="inlineStr">
        <is>
          <t>Entry level</t>
        </is>
      </c>
      <c r="G8" t="inlineStr">
        <is>
          <t>Hyderabad, Telangana, India</t>
        </is>
      </c>
      <c r="H8">
        <f>HYPERLINK("https://in.linkedin.com/company/persistent-systems?trk=public_jobs_topcard_logo", "https://in.linkedin.com/company/persistent-systems?trk=public_jobs_topcard_logo")</f>
        <v/>
      </c>
      <c r="I8" t="inlineStr">
        <is>
          <t>Python, Flask, Django, Javascript</t>
        </is>
      </c>
      <c r="J8">
        <f>HYPERLINK("https://in.linkedin.com/jobs/view/python-developer-at-persistent-systems-4296548148?trk=public_jobs_topcard-title", "https://in.linkedin.com/jobs/view/python-developer-at-persistent-systems-4296548148?trk=public_jobs_topcard-title")</f>
        <v/>
      </c>
      <c r="K8" t="inlineStr">
        <is>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ecosystem.Our disruptor’s mindset, commitment to client success, and agility to thrive in the dynamic environment have enabled us to sustain our growth momentum by reporting $1,409.1M revenue in FY25, delivering 18.8% Y-o-Y growth. Our 23,900+ global team members, located in 19 countries, have been instrumental in helping the market leaders transform their industries. We are also pleased to share that Persistent won in four categories at the prestigious 2024 ISG Star of Excellence™ Awards , including the Overall Award based on the voice of the customer. We were included in the Dow Jones Sustainability World Index, setting high standards in sustainability and corporate responsibility. We were awarded for our state-of-the-art learning and development initiatives at the 16 th TISS LeapVault CLO Awards. In addition, we were cited as the fastest-growing IT services brand in the 2024 Brand Finance India 100 Report. Throughout our market-leading growth, we’ve maintained a strong employee satisfaction score of 8.2/10.At Persistent, we embrace diversity to unlock everyone's potential. Our programs empower our workforce by harnessing varied backgrounds for creative, innovative problem-solving. Our inclusive environment fosters belonging, encouraging employees to unleash their full potential.For more details please login to www.persistent.comAbout The PositionWe are looking for an experienced Python Developer to join our engineering team and help us create dynamic software applications for our clients. You will be responsible for writing and testing scalable code, developing back-end components, and integrating user-facing elements in collaboration with front-end developers. To be successful in this role, you will require in-depth knowledge of object-relational mapping, experience with server-side logic, and above-average knowledge of Python programming. Ultimately, as a top-class Python Developer you should be able to design highly responsive web-applications that perfectly meet the needs of the client. What You?ll Do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Expertise You?ll Bring  A Bachelor of Science degree in Computer Science, Engineering or relevant field  Work experience as a Python Developer  Expertise in at least one popular Python framework (like Django, Flask or Pyramid)  Knowledge of object-relational mapping (ORM)  Familiarity with front-end technologies (like JavaScript and HTML5)  Team spirit  Good problem-solving skills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Persistent Ltd. is dedicated to fostering diversity and inclusion in the workplace. We invite applications from all qualified individuals, including those with disabilities, and regardless of gender or gender preference. We welcome diverse candidates from all backgrounds.Inclusive EnvironmentWe offer hybrid work options and flexible working hours to accommodate various needs and preferences.Our office is equipped with accessible facilities, including adjustable workstations, ergonomic chairs, and assistive technologies to support employees with physical disabilities.If you are a person with disabilities and have specific requirements, please inform us during the application process or at any time during your employment. We are committed to creating an inclusive environment where all employees can thrive.Our company fosters a values-driven and people-centric work environment that enables our employees to:Accelerate growth, both professionally and personallyImpact the world in powerful, positive ways, using the latest technologiesEnjoy collaborative innovation, with diversity and work-life wellbeing at the coreUnlock global opportunities to work and learn with the industry’s best Let’s unleash your full potential at Persistent -  persistent.com/careers</t>
        </is>
      </c>
      <c r="L8" t="inlineStr">
        <is>
          <t>Full-time</t>
        </is>
      </c>
      <c r="M8" t="inlineStr">
        <is>
          <t>Engineering and Information Technology</t>
        </is>
      </c>
    </row>
    <row r="9">
      <c r="A9" t="inlineStr">
        <is>
          <t>Capgemini</t>
        </is>
      </c>
      <c r="B9" t="inlineStr">
        <is>
          <t>Python GenAI</t>
        </is>
      </c>
      <c r="C9" t="inlineStr">
        <is>
          <t>3 days ago</t>
        </is>
      </c>
      <c r="D9" t="inlineStr"/>
      <c r="E9" t="inlineStr"/>
      <c r="F9" t="inlineStr">
        <is>
          <t>Mid-Senior level</t>
        </is>
      </c>
      <c r="G9" t="inlineStr">
        <is>
          <t>Bengaluru, Karnataka, India</t>
        </is>
      </c>
      <c r="H9">
        <f>HYPERLINK("https://fr.linkedin.com/company/capgemini?trk=public_jobs_topcard_logo", "https://fr.linkedin.com/company/capgemini?trk=public_jobs_topcard_logo")</f>
        <v/>
      </c>
      <c r="I9" t="inlineStr">
        <is>
          <t>Flask, Aws, Azure, Gcp, Microservices, Python, Django, Pandas, Ci/Cd, Numpy</t>
        </is>
      </c>
      <c r="J9">
        <f>HYPERLINK("https://in.linkedin.com/jobs/view/python-genai-at-capgemini-4367108808?trk=public_jobs_topcard-title", "https://in.linkedin.com/jobs/view/python-genai-at-capgemini-4367108808?trk=public_jobs_topcard-title")</f>
        <v/>
      </c>
      <c r="K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world.Your RoleBuild backend services and APIs using Python (FastAPI / Flask / Django).Work with LLMs (OpenAI, Azure OpenAI, Gemini, Llama, etc.) for GenAI solutions.Implement RAG (Retrieval-Augmented Generation) pipelines.Create and optimize prompt engineering frameworks for enterprise use cases.Work with vector databases such as Pinecone, FAISS, ChromaDB, Weaviate.Integrate GenAI features into existing products (chatbots, copilots, automation tools).Fine‑tune or customize models using Hugging Face / Transformers libraries.Develop data processing pipelines using Pandas, NumPy, LangChain, LlamaIndex.Implement authentication, authorization, and secure API usage.Deploy AI services on AWS / Azure / GCP.Build scalable, production-grade ML/GenAI systems with CI/CD.Your ProfileStrong proficiency in Python.Experience with GenAI/LLMs (OpenAI/LLama/Gemini).Knowledge of LangChain, LlamaIndex, or similar frameworks.Understanding of RAG, embeddings, tokenization, and transformers.Experience with REST APIs and microservices.Hands‑on with vector stores (Pinecone/FAISS).Understanding of cloud platforms (AWS/Azure/GCP).What You'll Love About Working HereYou can shape your career with us. We offer a range of career paths and internal opportunities within Capgemini group. You will also get personalized career guidance from our leaders.You will get comprehensive wellness benefits including health checks, telemedicine, insurance with top-ups, elder care, partner coverage or new parent support via flexible work. You will have the opportunity to learn on one of the industry's largest digital learning platforms, with access to 250,000+ courses and numerous certifications.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billion.Make it real | www.capgemini.com</t>
        </is>
      </c>
      <c r="L9" t="inlineStr">
        <is>
          <t>Full-time</t>
        </is>
      </c>
      <c r="M9" t="inlineStr">
        <is>
          <t>Other</t>
        </is>
      </c>
    </row>
    <row r="10">
      <c r="A10" t="inlineStr">
        <is>
          <t>Infosys</t>
        </is>
      </c>
      <c r="B10" t="inlineStr">
        <is>
          <t>Python Consultant</t>
        </is>
      </c>
      <c r="C10" t="inlineStr">
        <is>
          <t>1 day ago</t>
        </is>
      </c>
      <c r="D10" t="inlineStr">
        <is>
          <t>108 applicants</t>
        </is>
      </c>
      <c r="E10" t="inlineStr"/>
      <c r="F10" t="inlineStr">
        <is>
          <t>Mid-Senior level</t>
        </is>
      </c>
      <c r="G10" t="inlineStr">
        <is>
          <t>Bengaluru East, Karnataka, India</t>
        </is>
      </c>
      <c r="H10">
        <f>HYPERLINK("https://in.linkedin.com/company/infosys?trk=public_jobs_topcard_logo", "https://in.linkedin.com/company/infosys?trk=public_jobs_topcard_logo")</f>
        <v/>
      </c>
      <c r="I10" t="inlineStr">
        <is>
          <t>Flask, Pandas, Python, Digital Transformation, Agile, Django, Machine Learning, Data Analysis</t>
        </is>
      </c>
      <c r="J10">
        <f>HYPERLINK("https://in.linkedin.com/jobs/view/python-consultant-at-infosys-4331544487?trk=public_jobs_topcard-title", "https://in.linkedin.com/jobs/view/python-consultant-at-infosys-4331544487?trk=public_jobs_topcard-title")</f>
        <v/>
      </c>
      <c r="K10" t="inlineStr">
        <is>
          <t>Minimum Qualifications: - Bachelor's or Master's degree in Computer Science, Engineering, or related fields (BE, B.Tech, ME, M.Tech, MCA, MSc). - Proven experience in Python development (5+ years). - Strong understanding of Open Systems. Preferred Qualifications: - Experience with AI Machine Learning and its integration into software solutions. - Familiarity with related Python frameworks like Flask, Pandas, and Data Analysis. - Proven track record of delivering successful projects in a collaborative environment. - Ability to innovate and propose new solutions to technical challenges. Good to have skills: Flask, Pandas, Data Analysis, Django, TensorFlowKey Responsibilities: - Develop and maintain high-quality Python applications, ensuring robustness and scalability. - Utilize Open Systems to architect solutions that meet client requirements. - Collaborate with cross-functional teams to integrate AI Machine Learning models into existing frameworks. - Mentor junior developers and provide technical guidance to enhance team capabilities. - Engage in code reviews and uphold best practices in software development.About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L10" t="inlineStr">
        <is>
          <t>Full-time</t>
        </is>
      </c>
      <c r="M10" t="inlineStr">
        <is>
          <t>Consulting, Information Technology, and Sales</t>
        </is>
      </c>
    </row>
    <row r="11">
      <c r="A11" t="inlineStr">
        <is>
          <t>Capgemini</t>
        </is>
      </c>
      <c r="B11" t="inlineStr">
        <is>
          <t>Python, Selenium, AQA, Linux, SQL Test engineer</t>
        </is>
      </c>
      <c r="C11" t="inlineStr">
        <is>
          <t>1 week ago</t>
        </is>
      </c>
      <c r="D11" t="inlineStr">
        <is>
          <t>78 applicants</t>
        </is>
      </c>
      <c r="E11" t="inlineStr"/>
      <c r="F11" t="inlineStr">
        <is>
          <t>Mid-Senior level</t>
        </is>
      </c>
      <c r="G11" t="inlineStr">
        <is>
          <t>Pune, Maharashtra, India</t>
        </is>
      </c>
      <c r="H11">
        <f>HYPERLINK("https://fr.linkedin.com/company/capgemini?trk=public_jobs_topcard_logo", "https://fr.linkedin.com/company/capgemini?trk=public_jobs_topcard_logo")</f>
        <v/>
      </c>
      <c r="I11" t="inlineStr">
        <is>
          <t>R, Python, Jenkins, Linux, Bitbucket, Agile, Jira, Sql</t>
        </is>
      </c>
      <c r="J11">
        <f>HYPERLINK("https://in.linkedin.com/jobs/view/python-selenium-aqa-linux-sql-test-engineer-at-capgemini-4365090549?trk=public_jobs_topcard-title", "https://in.linkedin.com/jobs/view/python-selenium-aqa-linux-sql-test-engineer-at-capgemini-4365090549?trk=public_jobs_topcard-title")</f>
        <v/>
      </c>
      <c r="K11" t="inlineStr">
        <is>
          <t>Choosing Capgemini means choosing a place where you’ll be empowered to shape your career, supported by a collaborative global community, and inspired to reimagine what’s possible. Join us in helping leading Consumer Products and Retail Services (CPRS) organizations unlock the value of technology and drive scalable, sustainable growth.Your Role;We have urgent hiring for Python Automation with OOPS for Pune location.In this role, you will:a) 6+ years of proven work experience as a Python Automation QAb) Strong proficiency in Python programming, Selenium Framework and SQLc) Stong on Object Oriented Principles and OOPs conceptsd) Strong on Python Data Structures and should be able to map C++ Data Structurese) Hands on JIRA and Linux commandsYour ProfileFamiliarity with Testing methodologiesb) Good knowledge on SQL Database and Linuxc) Agile Methodologyd) Knowledge on Squish, Qt, Jira, Bitbucket, Jama, Jenkins, and Linux environments and workstationsWhat You’ll Love About Working HereWe value flexibility and support our employees with hybrid work options and adaptable schedules to maintain a healthy work-life balance. Our inclusive culture brings together diverse professionals committed to growth, innovation, and excellence. You’ll have access to continuous learning opportunities and certifications in emerging technologies like cloud and AI.---About UsAt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same.Capgemini is a global business and technology transformation partner, helping organizations accelerate their dual transformation to address the evolving needs of customers and citizens. With a strong 55-year heritage and deep industry expertise, Capgemini is trusted by its clients to address the entire breadth of their business needs—from strategy and design to operations.To achieve this, Capgemini draws on the capabilities of its 360,000 team members in more than 50 countries, all driven by the purpose of unleashing human energy through technology for an inclusive and sustainable future. It is a responsible and diverse organization with market-leading capabilities in digital, cloud, and data.</t>
        </is>
      </c>
      <c r="L11" t="inlineStr">
        <is>
          <t>Full-time</t>
        </is>
      </c>
      <c r="M11" t="inlineStr">
        <is>
          <t>Engineering and Information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2026-02-01T12:02:23Z</dcterms:created>
  <dcterms:modified xmlns:dcterms="http://purl.org/dc/terms/" xmlns:xsi="http://www.w3.org/2001/XMLSchema-instance" xsi:type="dcterms:W3CDTF">2026-02-01T12:02:23Z</dcterms:modified>
</cp:coreProperties>
</file>